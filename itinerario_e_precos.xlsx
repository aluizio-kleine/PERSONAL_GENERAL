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ROUPS\BR_SC_JGS_WAU_PRODUCAO\ENGENHARIA_INDUSTRIAL\03-USUÁRIOS\Aluizio\Visitar Fornecedores SP -MG\"/>
    </mc:Choice>
  </mc:AlternateContent>
  <xr:revisionPtr revIDLastSave="0" documentId="8_{6D8C23FE-CA3C-4C73-8B43-4E0B8C8E095D}" xr6:coauthVersionLast="47" xr6:coauthVersionMax="47" xr10:uidLastSave="{00000000-0000-0000-0000-000000000000}"/>
  <bookViews>
    <workbookView xWindow="-90" yWindow="-90" windowWidth="19380" windowHeight="10260" xr2:uid="{85142410-488F-4677-9BC5-B870307BF0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21" i="1"/>
  <c r="C19" i="1"/>
  <c r="C18" i="1"/>
  <c r="C17" i="1"/>
</calcChain>
</file>

<file path=xl/sharedStrings.xml><?xml version="1.0" encoding="utf-8"?>
<sst xmlns="http://schemas.openxmlformats.org/spreadsheetml/2006/main" count="39" uniqueCount="33">
  <si>
    <t>Itinerário</t>
  </si>
  <si>
    <t>Navegantes - Congonhas</t>
  </si>
  <si>
    <t>Congonhas - Campinas</t>
  </si>
  <si>
    <t>Campinas - Congonhas</t>
  </si>
  <si>
    <t>Congonhas - Belo Horizonte</t>
  </si>
  <si>
    <t>Belo Horizonte - Congonhas</t>
  </si>
  <si>
    <t>Congonhas - Navegantes</t>
  </si>
  <si>
    <t>Avião</t>
  </si>
  <si>
    <t>Carro</t>
  </si>
  <si>
    <t>Belo Horizonte - Betim</t>
  </si>
  <si>
    <t>Betim - Belo Horizonte</t>
  </si>
  <si>
    <t>BOSCH - Campinas</t>
  </si>
  <si>
    <t>Segunda 24/08/26</t>
  </si>
  <si>
    <t>Mondragon - Americana</t>
  </si>
  <si>
    <t>Terça 25/08/26</t>
  </si>
  <si>
    <t>Comau - Betim</t>
  </si>
  <si>
    <t>Quarta 26/08/26</t>
  </si>
  <si>
    <t>Stellantis - Betim</t>
  </si>
  <si>
    <t>Quinta 27/08/26</t>
  </si>
  <si>
    <t>Retorno para SC</t>
  </si>
  <si>
    <t>Sexta 28/08/26</t>
  </si>
  <si>
    <t>Sair de Campinas cedo e ir para Americana visitar, voltar direto para Congonhas saindo às 14:00 de Americana, pegar voo em Congonhas para Belo Horizonte  começo da noite</t>
  </si>
  <si>
    <t>Sair cedo de BH e ir para Betim visitar fábrica COMAU</t>
  </si>
  <si>
    <t xml:space="preserve">Sair cedo de BH e ir para Betim visitar fábrica Stellantis e voltar a noite para SC. </t>
  </si>
  <si>
    <t>Voltar de BH para Congonhas, e de Congonhas para SC</t>
  </si>
  <si>
    <t>Pegar voo cedo, pousar em Congonhas, pegar carro e ir para Campinas, chegada estimada 11:00 visitar fábrica Bosch.</t>
  </si>
  <si>
    <t>Passagem avião NVT - CGH ida e volta</t>
  </si>
  <si>
    <t>Passagem avião CGH - CNF ida e volta</t>
  </si>
  <si>
    <t xml:space="preserve">Aluguel de carro </t>
  </si>
  <si>
    <t>Gasolina</t>
  </si>
  <si>
    <t>Alimentação</t>
  </si>
  <si>
    <t>Total</t>
  </si>
  <si>
    <t xml:space="preserve">Hotel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</si>
</sst>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8" fontId="0" fillId="0" borderId="0" xfId="0" applyNumberFormat="1" applyAlignment="1">
      <alignment horizontal="left"/>
    </xf>
    <xf numFmtId="8" fontId="0" fillId="0" borderId="0" xfId="0" applyNumberFormat="1" applyAlignment="1">
      <alignment horizontal="center"/>
    </xf>
    <xf numFmtId="6" fontId="0" fillId="0" borderId="0" xfId="0" applyNumberFormat="1"/>
    <xf numFmtId="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75A0-8A65-4DA6-9D38-0BBA02559D4C}">
  <dimension ref="A1:C23"/>
  <sheetViews>
    <sheetView tabSelected="1" topLeftCell="A7" workbookViewId="0">
      <selection activeCell="C24" sqref="C24"/>
    </sheetView>
  </sheetViews>
  <sheetFormatPr defaultRowHeight="14.75" x14ac:dyDescent="0.75"/>
  <cols>
    <col min="1" max="1" width="31.453125" bestFit="1" customWidth="1"/>
    <col min="2" max="2" width="15.6796875" bestFit="1" customWidth="1"/>
    <col min="3" max="3" width="143.6796875" bestFit="1" customWidth="1"/>
  </cols>
  <sheetData>
    <row r="1" spans="1:3" x14ac:dyDescent="0.75">
      <c r="A1" t="s">
        <v>0</v>
      </c>
    </row>
    <row r="2" spans="1:3" x14ac:dyDescent="0.75">
      <c r="A2" t="s">
        <v>1</v>
      </c>
      <c r="B2" t="s">
        <v>7</v>
      </c>
    </row>
    <row r="3" spans="1:3" x14ac:dyDescent="0.75">
      <c r="A3" t="s">
        <v>2</v>
      </c>
      <c r="B3" t="s">
        <v>8</v>
      </c>
    </row>
    <row r="4" spans="1:3" x14ac:dyDescent="0.75">
      <c r="A4" t="s">
        <v>3</v>
      </c>
      <c r="B4" t="s">
        <v>8</v>
      </c>
    </row>
    <row r="5" spans="1:3" x14ac:dyDescent="0.75">
      <c r="A5" t="s">
        <v>4</v>
      </c>
      <c r="B5" t="s">
        <v>7</v>
      </c>
    </row>
    <row r="6" spans="1:3" x14ac:dyDescent="0.75">
      <c r="A6" t="s">
        <v>9</v>
      </c>
      <c r="B6" t="s">
        <v>8</v>
      </c>
    </row>
    <row r="7" spans="1:3" x14ac:dyDescent="0.75">
      <c r="A7" t="s">
        <v>10</v>
      </c>
      <c r="B7" t="s">
        <v>8</v>
      </c>
    </row>
    <row r="8" spans="1:3" x14ac:dyDescent="0.75">
      <c r="A8" t="s">
        <v>5</v>
      </c>
      <c r="B8" t="s">
        <v>7</v>
      </c>
    </row>
    <row r="9" spans="1:3" x14ac:dyDescent="0.75">
      <c r="A9" t="s">
        <v>6</v>
      </c>
      <c r="B9" t="s">
        <v>7</v>
      </c>
    </row>
    <row r="11" spans="1:3" x14ac:dyDescent="0.75">
      <c r="A11" t="s">
        <v>11</v>
      </c>
      <c r="B11" t="s">
        <v>12</v>
      </c>
      <c r="C11" t="s">
        <v>25</v>
      </c>
    </row>
    <row r="12" spans="1:3" x14ac:dyDescent="0.75">
      <c r="A12" t="s">
        <v>13</v>
      </c>
      <c r="B12" t="s">
        <v>14</v>
      </c>
      <c r="C12" t="s">
        <v>21</v>
      </c>
    </row>
    <row r="13" spans="1:3" x14ac:dyDescent="0.75">
      <c r="A13" t="s">
        <v>15</v>
      </c>
      <c r="B13" t="s">
        <v>16</v>
      </c>
      <c r="C13" t="s">
        <v>22</v>
      </c>
    </row>
    <row r="14" spans="1:3" x14ac:dyDescent="0.75">
      <c r="A14" t="s">
        <v>17</v>
      </c>
      <c r="B14" t="s">
        <v>18</v>
      </c>
      <c r="C14" t="s">
        <v>23</v>
      </c>
    </row>
    <row r="15" spans="1:3" x14ac:dyDescent="0.75">
      <c r="A15" t="s">
        <v>19</v>
      </c>
      <c r="B15" t="s">
        <v>20</v>
      </c>
      <c r="C15" t="s">
        <v>24</v>
      </c>
    </row>
    <row r="17" spans="1:3" x14ac:dyDescent="0.75">
      <c r="A17" t="s">
        <v>26</v>
      </c>
      <c r="B17" s="3">
        <v>450</v>
      </c>
      <c r="C17" s="2">
        <f>B17*2</f>
        <v>900</v>
      </c>
    </row>
    <row r="18" spans="1:3" x14ac:dyDescent="0.75">
      <c r="A18" t="s">
        <v>27</v>
      </c>
      <c r="B18" s="3">
        <v>633</v>
      </c>
      <c r="C18" s="2">
        <f>B18*2</f>
        <v>1266</v>
      </c>
    </row>
    <row r="19" spans="1:3" x14ac:dyDescent="0.75">
      <c r="A19" t="s">
        <v>28</v>
      </c>
      <c r="B19" s="1">
        <v>150</v>
      </c>
      <c r="C19" s="2">
        <f>B19*5</f>
        <v>750</v>
      </c>
    </row>
    <row r="20" spans="1:3" x14ac:dyDescent="0.75">
      <c r="A20" t="s">
        <v>29</v>
      </c>
      <c r="B20" s="1">
        <v>400</v>
      </c>
      <c r="C20" s="2">
        <v>400</v>
      </c>
    </row>
    <row r="21" spans="1:3" x14ac:dyDescent="0.75">
      <c r="A21" t="s">
        <v>30</v>
      </c>
      <c r="B21" s="4">
        <v>300</v>
      </c>
      <c r="C21" s="5">
        <f>B21*5</f>
        <v>1500</v>
      </c>
    </row>
    <row r="22" spans="1:3" x14ac:dyDescent="0.75">
      <c r="A22" t="s">
        <v>32</v>
      </c>
      <c r="B22" s="4">
        <v>350</v>
      </c>
      <c r="C22" s="5">
        <f>B22*4</f>
        <v>1400</v>
      </c>
    </row>
    <row r="23" spans="1:3" x14ac:dyDescent="0.75">
      <c r="A23" t="s">
        <v>31</v>
      </c>
      <c r="C23" s="2">
        <f>SUM(C17:C22)</f>
        <v>6216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Aluizio Augusto Kleine Kirschner</dc:creator>
  <cp:lastModifiedBy>Aluizio Augusto Kleine Kirschner</cp:lastModifiedBy>
  <dcterms:created xsi:type="dcterms:W3CDTF">2026-07-31T17:44:54Z</dcterms:created>
  <dcterms:modified xsi:type="dcterms:W3CDTF">2026-07-31T18:23:28Z</dcterms:modified>
</cp:coreProperties>
</file>